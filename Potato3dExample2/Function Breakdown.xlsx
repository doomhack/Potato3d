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k\Documents\GitProjects\Potato3d\Potato3dExample2\"/>
    </mc:Choice>
  </mc:AlternateContent>
  <xr:revisionPtr revIDLastSave="0" documentId="13_ncr:1_{E8A3EFCE-7FDB-4A29-93E3-733969DD6ADC}" xr6:coauthVersionLast="47" xr6:coauthVersionMax="47" xr10:uidLastSave="{00000000-0000-0000-0000-000000000000}"/>
  <bookViews>
    <workbookView xWindow="180" yWindow="6555" windowWidth="20820" windowHeight="8385" xr2:uid="{9F50350E-D52F-48FB-9F6B-1F6B04DEE73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I3" i="1"/>
  <c r="Z4" i="2"/>
  <c r="Z5" i="2"/>
  <c r="Z6" i="2"/>
  <c r="Z3" i="2"/>
  <c r="Y4" i="2"/>
  <c r="Y5" i="2"/>
  <c r="Y6" i="2"/>
  <c r="Y3" i="2"/>
  <c r="X7" i="2"/>
  <c r="V4" i="2"/>
  <c r="V5" i="2"/>
  <c r="V6" i="2"/>
  <c r="V3" i="2"/>
  <c r="U4" i="2"/>
  <c r="U5" i="2"/>
  <c r="U6" i="2"/>
  <c r="U3" i="2"/>
  <c r="T7" i="2"/>
  <c r="R4" i="2"/>
  <c r="R5" i="2"/>
  <c r="R6" i="2"/>
  <c r="R3" i="2"/>
  <c r="Q4" i="2"/>
  <c r="Q5" i="2"/>
  <c r="Q6" i="2"/>
  <c r="Q3" i="2"/>
  <c r="P7" i="2"/>
  <c r="N6" i="2"/>
  <c r="N5" i="2"/>
  <c r="N4" i="2"/>
  <c r="N3" i="2"/>
  <c r="M4" i="2"/>
  <c r="M5" i="2"/>
  <c r="M6" i="2"/>
  <c r="M3" i="2"/>
  <c r="L7" i="2"/>
  <c r="J4" i="2" l="1"/>
  <c r="J5" i="2"/>
  <c r="J6" i="2"/>
  <c r="J3" i="2"/>
  <c r="I7" i="2"/>
  <c r="G4" i="2"/>
  <c r="G5" i="2"/>
  <c r="G6" i="2"/>
  <c r="G3" i="2"/>
  <c r="F7" i="2"/>
  <c r="C4" i="2"/>
  <c r="C5" i="2"/>
  <c r="C6" i="2"/>
  <c r="C3" i="2"/>
  <c r="B7" i="2"/>
  <c r="F2" i="1"/>
  <c r="F3" i="1"/>
  <c r="F4" i="1"/>
  <c r="F5" i="1"/>
  <c r="F6" i="1"/>
  <c r="F7" i="1"/>
  <c r="F8" i="1"/>
  <c r="F9" i="1"/>
  <c r="F10" i="1"/>
  <c r="F11" i="1"/>
  <c r="F12" i="1"/>
  <c r="F13" i="1"/>
  <c r="D3" i="1"/>
  <c r="E3" i="1" s="1"/>
  <c r="D4" i="1"/>
  <c r="E4" i="1" s="1"/>
  <c r="D5" i="1"/>
  <c r="E5" i="1" s="1"/>
  <c r="D6" i="1"/>
  <c r="D7" i="1"/>
  <c r="D8" i="1"/>
  <c r="D9" i="1"/>
  <c r="D10" i="1"/>
  <c r="D11" i="1"/>
  <c r="D12" i="1"/>
  <c r="E6" i="1" l="1"/>
  <c r="E7" i="1"/>
  <c r="E8" i="1"/>
  <c r="E9" i="1"/>
  <c r="E10" i="1"/>
  <c r="E11" i="1"/>
  <c r="E12" i="1"/>
  <c r="D2" i="1"/>
  <c r="E2" i="1" s="1"/>
</calcChain>
</file>

<file path=xl/sharedStrings.xml><?xml version="1.0" encoding="utf-8"?>
<sst xmlns="http://schemas.openxmlformats.org/spreadsheetml/2006/main" count="24" uniqueCount="22">
  <si>
    <t>MainLoop::Run</t>
  </si>
  <si>
    <t>MainLoop::RenderModel</t>
  </si>
  <si>
    <t>RenderDevice::DrawTriangle</t>
  </si>
  <si>
    <t>RenderTriangle::DrawTriangle</t>
  </si>
  <si>
    <t>RenderTriangle::TriangulatePolygon</t>
  </si>
  <si>
    <t>RenderTriangle::ComputeTriangleEdges</t>
  </si>
  <si>
    <t>RenderTriangle::ComputeTrianglePos</t>
  </si>
  <si>
    <t>RenderTriangle::DrawTriangleSpans</t>
  </si>
  <si>
    <t>RenderTriangle::DrawSpan</t>
  </si>
  <si>
    <t>RenderTriangle::DispatchSpan</t>
  </si>
  <si>
    <t>RenderTriangle::DrawTriangleScanlineAffine</t>
  </si>
  <si>
    <t>Function</t>
  </si>
  <si>
    <t>Count</t>
  </si>
  <si>
    <t>Ms</t>
  </si>
  <si>
    <t>Delta</t>
  </si>
  <si>
    <t>%</t>
  </si>
  <si>
    <t>% total</t>
  </si>
  <si>
    <t>Self</t>
  </si>
  <si>
    <t>Cull</t>
  </si>
  <si>
    <t>Clip</t>
  </si>
  <si>
    <t>Div</t>
  </si>
  <si>
    <t>fps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</si>
</sst>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F272B-BF31-4FA1-90F8-60FC47399D7C}">
  <dimension ref="A1:N13"/>
  <sheetViews>
    <sheetView tabSelected="1" workbookViewId="0">
      <selection activeCell="A6" sqref="A6:XFD6"/>
    </sheetView>
  </sheetViews>
  <sheetFormatPr defaultRowHeight="15" x14ac:dyDescent="0.25"/>
  <cols>
    <col min="1" max="1" width="41.42578125" bestFit="1" customWidth="1"/>
    <col min="2" max="3" width="9.140625" style="1"/>
    <col min="5" max="6" width="9.140625" style="2"/>
  </cols>
  <sheetData>
    <row r="1" spans="1:14" x14ac:dyDescent="0.25">
      <c r="A1" t="s">
        <v>11</v>
      </c>
      <c r="B1" s="1" t="s">
        <v>12</v>
      </c>
      <c r="C1" s="1" t="s">
        <v>13</v>
      </c>
      <c r="D1" t="s">
        <v>14</v>
      </c>
      <c r="E1" s="2" t="s">
        <v>15</v>
      </c>
      <c r="F1" s="2" t="s">
        <v>16</v>
      </c>
    </row>
    <row r="2" spans="1:14" ht="15.75" customHeight="1" x14ac:dyDescent="0.25">
      <c r="A2" t="s">
        <v>0</v>
      </c>
      <c r="B2" s="1">
        <v>1</v>
      </c>
      <c r="C2" s="1">
        <v>41469</v>
      </c>
      <c r="D2" s="1">
        <f>C2-C3</f>
        <v>1362</v>
      </c>
      <c r="E2" s="2">
        <f>D2/$C$2</f>
        <v>3.2843811039571728E-2</v>
      </c>
      <c r="F2" s="2">
        <f t="shared" ref="F2:F12" si="0">C2/$C$2</f>
        <v>1</v>
      </c>
      <c r="K2">
        <v>1</v>
      </c>
      <c r="L2">
        <v>43353.798999999999</v>
      </c>
    </row>
    <row r="3" spans="1:14" x14ac:dyDescent="0.25">
      <c r="A3" t="s">
        <v>1</v>
      </c>
      <c r="B3" s="1">
        <v>448</v>
      </c>
      <c r="C3" s="1">
        <v>40107</v>
      </c>
      <c r="D3" s="1">
        <f t="shared" ref="D3:D12" si="1">C3-C4</f>
        <v>1543.0049999999974</v>
      </c>
      <c r="E3" s="2">
        <f>D3/$C$2</f>
        <v>3.7208637777616953E-2</v>
      </c>
      <c r="F3" s="2">
        <f t="shared" si="0"/>
        <v>0.96715618896042832</v>
      </c>
      <c r="H3" t="s">
        <v>21</v>
      </c>
      <c r="I3">
        <f>B3/(C3/1000)</f>
        <v>11.170119929189418</v>
      </c>
      <c r="K3">
        <v>581</v>
      </c>
      <c r="L3">
        <v>42154.531000000003</v>
      </c>
      <c r="N3">
        <f>K3/(L3/1000)</f>
        <v>13.782622798009541</v>
      </c>
    </row>
    <row r="4" spans="1:14" x14ac:dyDescent="0.25">
      <c r="A4" t="s">
        <v>2</v>
      </c>
      <c r="B4" s="1">
        <v>21851</v>
      </c>
      <c r="C4" s="1">
        <v>38563.995000000003</v>
      </c>
      <c r="D4" s="1">
        <f t="shared" si="1"/>
        <v>1157.9950000000026</v>
      </c>
      <c r="E4" s="2">
        <f>D4/$C$2</f>
        <v>2.7924353131254735E-2</v>
      </c>
      <c r="F4" s="2">
        <f t="shared" si="0"/>
        <v>0.92994755118281136</v>
      </c>
    </row>
    <row r="5" spans="1:14" x14ac:dyDescent="0.25">
      <c r="A5" t="s">
        <v>2</v>
      </c>
      <c r="B5" s="1">
        <v>21851</v>
      </c>
      <c r="C5" s="1">
        <v>37406</v>
      </c>
      <c r="D5" s="1">
        <f t="shared" si="1"/>
        <v>303.26600000000326</v>
      </c>
      <c r="E5" s="2">
        <f>D5/$C$2</f>
        <v>7.3130772384191389E-3</v>
      </c>
      <c r="F5" s="2">
        <f t="shared" si="0"/>
        <v>0.90202319805155662</v>
      </c>
      <c r="K5">
        <v>28468</v>
      </c>
      <c r="L5">
        <v>38513</v>
      </c>
    </row>
    <row r="6" spans="1:14" x14ac:dyDescent="0.25">
      <c r="A6" t="s">
        <v>3</v>
      </c>
      <c r="B6" s="1">
        <v>21851</v>
      </c>
      <c r="C6" s="1">
        <v>37102.733999999997</v>
      </c>
      <c r="D6" s="1">
        <f t="shared" si="1"/>
        <v>2996.7779999999984</v>
      </c>
      <c r="E6" s="2">
        <f>D6/$C$2</f>
        <v>7.2265499529769184E-2</v>
      </c>
      <c r="F6" s="2">
        <f t="shared" si="0"/>
        <v>0.8947101208131375</v>
      </c>
    </row>
    <row r="7" spans="1:14" x14ac:dyDescent="0.25">
      <c r="A7" t="s">
        <v>4</v>
      </c>
      <c r="B7" s="1">
        <v>21823</v>
      </c>
      <c r="C7" s="1">
        <v>34105.955999999998</v>
      </c>
      <c r="D7" s="1">
        <f t="shared" si="1"/>
        <v>67.409999999996217</v>
      </c>
      <c r="E7" s="2">
        <f>D7/$C$2</f>
        <v>1.6255516168703422E-3</v>
      </c>
      <c r="F7" s="2">
        <f t="shared" si="0"/>
        <v>0.82244462128336826</v>
      </c>
    </row>
    <row r="8" spans="1:14" x14ac:dyDescent="0.25">
      <c r="A8" t="s">
        <v>5</v>
      </c>
      <c r="B8" s="1">
        <v>24755</v>
      </c>
      <c r="C8" s="1">
        <v>34038.546000000002</v>
      </c>
      <c r="D8" s="1">
        <f t="shared" si="1"/>
        <v>2994.5700000000033</v>
      </c>
      <c r="E8" s="2">
        <f>D8/$C$2</f>
        <v>7.2212254937423212E-2</v>
      </c>
      <c r="F8" s="2">
        <f t="shared" si="0"/>
        <v>0.82081906966649787</v>
      </c>
    </row>
    <row r="9" spans="1:14" x14ac:dyDescent="0.25">
      <c r="A9" t="s">
        <v>6</v>
      </c>
      <c r="B9" s="1">
        <v>43685</v>
      </c>
      <c r="C9" s="1">
        <v>31043.975999999999</v>
      </c>
      <c r="D9" s="1">
        <f t="shared" si="1"/>
        <v>444.06099999999788</v>
      </c>
      <c r="E9" s="2">
        <f>D9/$C$2</f>
        <v>1.0708264004436998E-2</v>
      </c>
      <c r="F9" s="2">
        <f t="shared" si="0"/>
        <v>0.74860681472907475</v>
      </c>
    </row>
    <row r="10" spans="1:14" x14ac:dyDescent="0.25">
      <c r="A10" t="s">
        <v>7</v>
      </c>
      <c r="B10" s="1">
        <v>37281</v>
      </c>
      <c r="C10" s="1">
        <v>30599.915000000001</v>
      </c>
      <c r="D10" s="1">
        <f t="shared" si="1"/>
        <v>4106.5499999999993</v>
      </c>
      <c r="E10" s="2">
        <f>D10/$C$2</f>
        <v>9.9026984012153638E-2</v>
      </c>
      <c r="F10" s="2">
        <f t="shared" si="0"/>
        <v>0.73789855072463773</v>
      </c>
    </row>
    <row r="11" spans="1:14" x14ac:dyDescent="0.25">
      <c r="A11" t="s">
        <v>8</v>
      </c>
      <c r="B11" s="1">
        <v>1135901</v>
      </c>
      <c r="C11" s="1">
        <v>26493.365000000002</v>
      </c>
      <c r="D11" s="1">
        <f t="shared" si="1"/>
        <v>6530.5150000000031</v>
      </c>
      <c r="E11" s="2">
        <f>D11/$C$2</f>
        <v>0.15747944247510196</v>
      </c>
      <c r="F11" s="2">
        <f t="shared" si="0"/>
        <v>0.63887156671248402</v>
      </c>
    </row>
    <row r="12" spans="1:14" x14ac:dyDescent="0.25">
      <c r="A12" t="s">
        <v>9</v>
      </c>
      <c r="B12" s="1">
        <v>896651</v>
      </c>
      <c r="C12" s="1">
        <v>19962.849999999999</v>
      </c>
      <c r="D12" s="1">
        <f t="shared" si="1"/>
        <v>1442.9359999999979</v>
      </c>
      <c r="E12" s="2">
        <f>D12/$C$2</f>
        <v>3.4795534013359324E-2</v>
      </c>
      <c r="F12" s="2">
        <f t="shared" si="0"/>
        <v>0.48139212423738209</v>
      </c>
    </row>
    <row r="13" spans="1:14" x14ac:dyDescent="0.25">
      <c r="A13" t="s">
        <v>10</v>
      </c>
      <c r="B13" s="1">
        <v>896651</v>
      </c>
      <c r="C13" s="1">
        <v>18519.914000000001</v>
      </c>
      <c r="D13" s="1"/>
      <c r="F13" s="2">
        <f>C13/$C$2</f>
        <v>0.44659659022402276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CE71F-F42D-432B-BEF8-D8AD2EB14AC7}">
  <dimension ref="A2:Z7"/>
  <sheetViews>
    <sheetView workbookViewId="0">
      <selection activeCell="A5" sqref="A5:XFD5"/>
    </sheetView>
  </sheetViews>
  <sheetFormatPr defaultRowHeight="15" x14ac:dyDescent="0.25"/>
  <cols>
    <col min="1" max="1" width="28" bestFit="1" customWidth="1"/>
    <col min="3" max="3" width="9.140625" style="2"/>
    <col min="7" max="7" width="9.140625" style="2"/>
    <col min="10" max="10" width="9.140625" style="2"/>
    <col min="13" max="13" width="9.140625" style="2"/>
    <col min="17" max="17" width="9.140625" style="2"/>
    <col min="21" max="21" width="9.140625" style="2"/>
    <col min="25" max="25" width="9.140625" style="2"/>
  </cols>
  <sheetData>
    <row r="2" spans="1:26" x14ac:dyDescent="0.25">
      <c r="A2" t="s">
        <v>3</v>
      </c>
    </row>
    <row r="3" spans="1:26" x14ac:dyDescent="0.25">
      <c r="A3" t="s">
        <v>17</v>
      </c>
      <c r="B3">
        <v>620</v>
      </c>
      <c r="C3" s="2">
        <f>B3/$B$7</f>
        <v>0.19195640731911204</v>
      </c>
      <c r="F3">
        <v>607</v>
      </c>
      <c r="G3" s="2">
        <f>F3/$F$7</f>
        <v>0.32709676028711226</v>
      </c>
      <c r="I3">
        <v>569</v>
      </c>
      <c r="J3" s="2">
        <f>I3/$I$7</f>
        <v>0.23457146390732575</v>
      </c>
      <c r="L3">
        <v>597</v>
      </c>
      <c r="M3" s="2">
        <f>L3/$L$7</f>
        <v>0.19269141164372552</v>
      </c>
      <c r="N3" s="2">
        <f>M3-C3</f>
        <v>7.350043246134863E-4</v>
      </c>
      <c r="P3">
        <v>610</v>
      </c>
      <c r="Q3" s="2">
        <f>P3/$P$7</f>
        <v>0.19376662303211728</v>
      </c>
      <c r="R3" s="2">
        <f>Q3-M3</f>
        <v>1.0752113883917558E-3</v>
      </c>
      <c r="T3">
        <v>589</v>
      </c>
      <c r="U3" s="2">
        <f>T3/$T$7</f>
        <v>0.19337577970000819</v>
      </c>
      <c r="V3" s="2">
        <f>U3-C3</f>
        <v>1.41937238089615E-3</v>
      </c>
      <c r="X3">
        <v>584.13400000000001</v>
      </c>
      <c r="Y3" s="2">
        <f>X3/$X$7</f>
        <v>0.19492067814165745</v>
      </c>
      <c r="Z3" s="2">
        <f>Y3-C3</f>
        <v>2.9642708225454117E-3</v>
      </c>
    </row>
    <row r="4" spans="1:26" x14ac:dyDescent="0.25">
      <c r="A4" t="s">
        <v>18</v>
      </c>
      <c r="B4">
        <v>25.9</v>
      </c>
      <c r="C4" s="2">
        <f t="shared" ref="C4:C6" si="0">B4/$B$7</f>
        <v>8.0188241122016151E-3</v>
      </c>
      <c r="F4">
        <v>25.2</v>
      </c>
      <c r="G4" s="2">
        <f t="shared" ref="G4:G6" si="1">F4/$F$7</f>
        <v>1.3579634858707132E-2</v>
      </c>
      <c r="I4">
        <v>27.8</v>
      </c>
      <c r="J4" s="2">
        <f t="shared" ref="J4:J6" si="2">I4/$I$7</f>
        <v>1.1460609308653174E-2</v>
      </c>
      <c r="L4">
        <v>24.145</v>
      </c>
      <c r="M4" s="2">
        <f t="shared" ref="M4:M6" si="3">L4/$L$7</f>
        <v>7.7931895044183463E-3</v>
      </c>
      <c r="N4" s="2">
        <f>M4-C4</f>
        <v>-2.2563460778326876E-4</v>
      </c>
      <c r="P4">
        <v>24.972000000000001</v>
      </c>
      <c r="Q4" s="2">
        <f t="shared" ref="Q4:Q6" si="4">P4/$P$7</f>
        <v>7.9323608366525123E-3</v>
      </c>
      <c r="R4" s="2">
        <f t="shared" ref="R4:R6" si="5">Q4-M4</f>
        <v>1.3917133223416596E-4</v>
      </c>
      <c r="T4">
        <v>24.306000000000001</v>
      </c>
      <c r="U4" s="2">
        <f t="shared" ref="U4:U6" si="6">T4/$T$7</f>
        <v>7.9799519548190145E-3</v>
      </c>
      <c r="V4" s="2">
        <f t="shared" ref="V4:V6" si="7">U4-C4</f>
        <v>-3.8872157382600567E-5</v>
      </c>
      <c r="X4">
        <v>24.085000000000001</v>
      </c>
      <c r="Y4" s="2">
        <f t="shared" ref="Y4:Y7" si="8">X4/$X$7</f>
        <v>8.0369650337796129E-3</v>
      </c>
      <c r="Z4" s="2">
        <f t="shared" ref="Z4:Z6" si="9">Y4-C4</f>
        <v>1.8140921577997765E-5</v>
      </c>
    </row>
    <row r="5" spans="1:26" x14ac:dyDescent="0.25">
      <c r="A5" t="s">
        <v>19</v>
      </c>
      <c r="B5">
        <v>1239</v>
      </c>
      <c r="C5" s="2">
        <f t="shared" si="0"/>
        <v>0.38360320752964489</v>
      </c>
      <c r="F5">
        <v>1223.52</v>
      </c>
      <c r="G5" s="2">
        <f t="shared" si="1"/>
        <v>0.65932360485418062</v>
      </c>
      <c r="I5">
        <v>1332.9</v>
      </c>
      <c r="J5" s="2">
        <f t="shared" si="2"/>
        <v>0.54949086861524521</v>
      </c>
      <c r="L5">
        <v>1181.413</v>
      </c>
      <c r="M5" s="2">
        <f t="shared" si="3"/>
        <v>0.38132016533374996</v>
      </c>
      <c r="N5" s="2">
        <f>M5-C5</f>
        <v>-2.2830421958949243E-3</v>
      </c>
      <c r="P5">
        <v>1188.346</v>
      </c>
      <c r="Q5" s="2">
        <f t="shared" si="4"/>
        <v>0.37747834657987611</v>
      </c>
      <c r="R5" s="2">
        <f t="shared" si="5"/>
        <v>-3.8418187538738491E-3</v>
      </c>
      <c r="T5">
        <v>1153.479</v>
      </c>
      <c r="U5" s="2">
        <f t="shared" si="6"/>
        <v>0.37870102036092657</v>
      </c>
      <c r="V5" s="2">
        <f t="shared" si="7"/>
        <v>-4.9021871687183194E-3</v>
      </c>
      <c r="X5">
        <v>1120.6469999999999</v>
      </c>
      <c r="Y5" s="2">
        <f t="shared" si="8"/>
        <v>0.37395062296906872</v>
      </c>
      <c r="Z5" s="2">
        <f t="shared" si="9"/>
        <v>-9.6525845605761607E-3</v>
      </c>
    </row>
    <row r="6" spans="1:26" x14ac:dyDescent="0.25">
      <c r="A6" t="s">
        <v>20</v>
      </c>
      <c r="B6">
        <v>1345</v>
      </c>
      <c r="C6" s="2">
        <f t="shared" si="0"/>
        <v>0.41642156103904143</v>
      </c>
      <c r="F6">
        <v>0</v>
      </c>
      <c r="G6" s="2">
        <f t="shared" si="1"/>
        <v>0</v>
      </c>
      <c r="I6">
        <v>496</v>
      </c>
      <c r="J6" s="2">
        <f t="shared" si="2"/>
        <v>0.20447705816877604</v>
      </c>
      <c r="L6">
        <v>1295.6600000000001</v>
      </c>
      <c r="M6" s="2">
        <f t="shared" si="3"/>
        <v>0.41819523351810628</v>
      </c>
      <c r="N6" s="2">
        <f>M6-C6</f>
        <v>1.7736724790648473E-3</v>
      </c>
      <c r="P6">
        <v>1324.799</v>
      </c>
      <c r="Q6" s="2">
        <f t="shared" si="4"/>
        <v>0.420822669551354</v>
      </c>
      <c r="R6" s="2">
        <f t="shared" si="5"/>
        <v>2.6274360332477209E-3</v>
      </c>
      <c r="T6">
        <v>1279.098</v>
      </c>
      <c r="U6" s="2">
        <f t="shared" si="6"/>
        <v>0.41994324798424632</v>
      </c>
      <c r="V6" s="2">
        <f t="shared" si="7"/>
        <v>3.5216869452048827E-3</v>
      </c>
      <c r="X6">
        <v>1267.912</v>
      </c>
      <c r="Y6" s="2">
        <f t="shared" si="8"/>
        <v>0.42309173385549409</v>
      </c>
      <c r="Z6" s="2">
        <f t="shared" si="9"/>
        <v>6.6701728164526575E-3</v>
      </c>
    </row>
    <row r="7" spans="1:26" x14ac:dyDescent="0.25">
      <c r="B7">
        <f>SUM(B3:B6)</f>
        <v>3229.9</v>
      </c>
      <c r="F7">
        <f>SUM(F3:F6)</f>
        <v>1855.72</v>
      </c>
      <c r="I7">
        <f>SUM(I3:I6)</f>
        <v>2425.6999999999998</v>
      </c>
      <c r="L7">
        <f>SUM(L3:L6)</f>
        <v>3098.2179999999998</v>
      </c>
      <c r="P7">
        <f>SUM(P3:P6)</f>
        <v>3148.1170000000002</v>
      </c>
      <c r="T7">
        <f>SUM(T3:T6)</f>
        <v>3045.8829999999998</v>
      </c>
      <c r="X7">
        <f>SUM(X3:X6)</f>
        <v>2996.7780000000002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 Larue-Buckley</dc:creator>
  <cp:lastModifiedBy>Zak Larue-Buckley</cp:lastModifiedBy>
  <dcterms:created xsi:type="dcterms:W3CDTF">2026-04-04T20:58:15Z</dcterms:created>
  <dcterms:modified xsi:type="dcterms:W3CDTF">2026-04-06T23:24:55Z</dcterms:modified>
</cp:coreProperties>
</file>